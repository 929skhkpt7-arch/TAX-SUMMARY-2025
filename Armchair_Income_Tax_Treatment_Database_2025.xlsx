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0a85b3940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 Database" sheetId="1" r:id="R239aba0bdba74b2f"/>
    <x:sheet xmlns:r="http://schemas.openxmlformats.org/officeDocument/2006/relationships" name="Sources" sheetId="2" r:id="Raad938cacc5b4a17"/>
    <x:sheet xmlns:r="http://schemas.openxmlformats.org/officeDocument/2006/relationships" name="Needs Verification" sheetId="3" r:id="R673ab5442abc4837"/>
    <x:sheet xmlns:r="http://schemas.openxmlformats.org/officeDocument/2006/relationships" name="Audit" sheetId="4" r:id="Rc4ed4943bef5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;[Red](0.00%);-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left"/>
    </x:xf>
    <x:xf numFmtId="200" fontId="0" fillId="0" borderId="1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left"/>
    </x:xf>
    <x:xf numFmtId="200" fontId="0" fillId="0" borderId="3" xfId="0" applyNumberFormat="1" applyFont="1" applyFill="1" applyBorder="1" applyAlignment="1">
      <x:alignment horizontal="right"/>
    </x:xf>
    <x:xf numFmtId="0" fontId="0" fillId="5" borderId="2" xfId="0" applyNumberFormat="1" applyFont="1" applyFill="1" applyBorder="1" applyAlignment="1">
      <x:alignment horizontal="left"/>
    </x:xf>
    <x:xf numFmtId="200" fontId="0" fillId="5" borderId="2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e8f0245f347d2" /><Relationship Type="http://schemas.openxmlformats.org/officeDocument/2006/relationships/theme" Target="/xl/theme/theme1.xml" Id="R4e0c221412734a72" /><Relationship Type="http://schemas.openxmlformats.org/officeDocument/2006/relationships/sharedStrings" Target="/xl/sharedStrings.xml" Id="R141f0d56d3634e7c" /><Relationship Type="http://schemas.openxmlformats.org/officeDocument/2006/relationships/worksheet" Target="/xl/worksheets/sheet1.xml" Id="R239aba0bdba74b2f" /><Relationship Type="http://schemas.openxmlformats.org/officeDocument/2006/relationships/worksheet" Target="/xl/worksheets/sheet2.xml" Id="Raad938cacc5b4a17" /><Relationship Type="http://schemas.openxmlformats.org/officeDocument/2006/relationships/worksheet" Target="/xl/worksheets/sheet3.xml" Id="R673ab5442abc4837" /><Relationship Type="http://schemas.openxmlformats.org/officeDocument/2006/relationships/worksheet" Target="/xl/worksheets/sheet4.xml" Id="Rc4ed4943bef54bac" /></Relationships>
</file>

<file path=xl/tables/table1.xml><?xml version="1.0" encoding="utf-8"?>
<x:table xmlns:x="http://schemas.openxmlformats.org/spreadsheetml/2006/main" id="1" name="TaxTreatmentTable" displayName="TaxTreatmentTable" ref="A4:L81" headerRowCount="1" totalsRowCount="0" totalsRowShown="0">
  <x:tableColumns count="12">
    <x:tableColumn id="1" name="Symbol"/>
    <x:tableColumn id="2" name="Buy Date"/>
    <x:tableColumn id="3" name="ROC, %"/>
    <x:tableColumn id="4" name="Qualified Dividend, %"/>
    <x:tableColumn id="5" name="Non-Qualified Dividend, %"/>
    <x:tableColumn id="6" name="Long-Term Gain, %"/>
    <x:tableColumn id="7" name="Short-Term Gain, %"/>
    <x:tableColumn id="8" name="Ordinary Income, %"/>
    <x:tableColumn id="9" name="Section 199A, %"/>
    <x:tableColumn id="10" name="Foreign Tax Paid, %"/>
    <x:tableColumn id="11" name="Federal Tax-Exempt, %"/>
    <x:tableColumn id="12" name="Classified Total,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C15" headerRowCount="1" totalsRowCount="0" totalsRowShown="0">
  <x:tableColumns count="3">
    <x:tableColumn id="1" name="Applies To"/>
    <x:tableColumn id="2" name="Source URL"/>
    <x:tableColumn id="3" name="Source / Scope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cationTable" displayName="VerificationTable" ref="A4:D14" headerRowCount="1" totalsRowCount="0" totalsRowShown="0">
  <x:tableColumns count="4">
    <x:tableColumn id="1" name="Symbol"/>
    <x:tableColumn id="2" name="Reported 2025 Tax Data"/>
    <x:tableColumn id="3" name="Reason Not Added"/>
    <x:tableColumn id="4" name="Source URL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c1695cdfb841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9e308f09c5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6b40d8764445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8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20" hidden="0" customWidth="1"/>
    <x:col min="12" max="12" width="17" hidden="0" customWidth="1"/>
  </x:cols>
  <x:sheetData>
    <x:row r="1" ht="30" customHeight="1">
      <x:c r="A1" s="3" t="str">
        <x:v>ARMCHAIR INCOME LOUNGE — Tax Treatment: ETF &amp; Fund Database 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Current reference rows plus 16 nonredundant additions from community posts/comments. Holding period within the calendar year may affect individual percentages.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2" customHeight="1">
      <x:c r="A4" s="15" t="str">
        <x:v>Symbol</x:v>
      </x:c>
      <x:c r="B4" s="15" t="str">
        <x:v>Buy Date</x:v>
      </x:c>
      <x:c r="C4" s="15" t="str">
        <x:v>ROC, %</x:v>
      </x:c>
      <x:c r="D4" s="15" t="str">
        <x:v>Qualified Dividend, %</x:v>
      </x:c>
      <x:c r="E4" s="15" t="str">
        <x:v>Non-Qualified Dividend, %</x:v>
      </x:c>
      <x:c r="F4" s="15" t="str">
        <x:v>Long-Term Gain, %</x:v>
      </x:c>
      <x:c r="G4" s="15" t="str">
        <x:v>Short-Term Gain, %</x:v>
      </x:c>
      <x:c r="H4" s="15" t="str">
        <x:v>Ordinary Income, %</x:v>
      </x:c>
      <x:c r="I4" s="15" t="str">
        <x:v>Section 199A, %</x:v>
      </x:c>
      <x:c r="J4" s="15" t="str">
        <x:v>Foreign Tax Paid, %</x:v>
      </x:c>
      <x:c r="K4" s="15" t="str">
        <x:v>Federal Tax-Exempt, %</x:v>
      </x:c>
      <x:c r="L4" s="15" t="str">
        <x:v>Classified Total, %</x:v>
      </x:c>
    </x:row>
    <x:row r="5">
      <x:c r="A5" s="16" t="str">
        <x:v>ADAMH</x:v>
      </x:c>
      <x:c r="B5" s="16" t="str">
        <x:v>2025</x:v>
      </x:c>
      <x:c r="C5" s="17" t="str">
        <x:v>NA</x:v>
      </x:c>
      <x:c r="D5" s="17"/>
      <x:c r="E5" s="17"/>
      <x:c r="F5" s="17"/>
      <x:c r="G5" s="17"/>
      <x:c r="H5" s="17"/>
      <x:c r="I5" s="17"/>
      <x:c r="J5" s="17"/>
      <x:c r="K5" s="17"/>
      <x:c r="L5" s="17" t="n">
        <x:f>SUM(C5:K5)</x:f>
        <x:v>0</x:v>
      </x:c>
    </x:row>
    <x:row r="6">
      <x:c r="A6" s="18" t="str">
        <x:v>AIPI</x:v>
      </x:c>
      <x:c r="B6" s="18" t="str">
        <x:v>2025</x:v>
      </x:c>
      <x:c r="C6" s="19" t="n">
        <x:v>1</x:v>
      </x:c>
      <x:c r="D6" s="19"/>
      <x:c r="E6" s="19"/>
      <x:c r="F6" s="19"/>
      <x:c r="G6" s="19"/>
      <x:c r="H6" s="19"/>
      <x:c r="I6" s="19"/>
      <x:c r="J6" s="19"/>
      <x:c r="K6" s="19"/>
      <x:c r="L6" s="19" t="n">
        <x:f>SUM(C6:K6)</x:f>
        <x:v>1</x:v>
      </x:c>
    </x:row>
    <x:row r="7">
      <x:c r="A7" s="22" t="str">
        <x:v>AMLP</x:v>
      </x:c>
      <x:c r="B7" s="22" t="str">
        <x:v>2025</x:v>
      </x:c>
      <x:c r="C7" s="23"/>
      <x:c r="D7" s="23"/>
      <x:c r="E7" s="23"/>
      <x:c r="F7" s="23"/>
      <x:c r="G7" s="23"/>
      <x:c r="H7" s="23" t="n">
        <x:v>1</x:v>
      </x:c>
      <x:c r="I7" s="23"/>
      <x:c r="J7" s="23"/>
      <x:c r="K7" s="23"/>
      <x:c r="L7" s="23" t="n">
        <x:f>SUM(C7:K7)</x:f>
        <x:v>1</x:v>
      </x:c>
    </x:row>
    <x:row r="8">
      <x:c r="A8" s="22" t="str">
        <x:v>ASGI</x:v>
      </x:c>
      <x:c r="B8" s="22" t="str">
        <x:v>2025</x:v>
      </x:c>
      <x:c r="C8" s="23" t="n">
        <x:v>0.434</x:v>
      </x:c>
      <x:c r="D8" s="23" t="n">
        <x:v>0.17600000000000002</x:v>
      </x:c>
      <x:c r="E8" s="23" t="n">
        <x:v>0.08199999999999999</x:v>
      </x:c>
      <x:c r="F8" s="23" t="n">
        <x:v>0.309</x:v>
      </x:c>
      <x:c r="G8" s="23"/>
      <x:c r="H8" s="23"/>
      <x:c r="I8" s="23"/>
      <x:c r="J8" s="23"/>
      <x:c r="K8" s="23"/>
      <x:c r="L8" s="23" t="n">
        <x:f>SUM(C8:K8)</x:f>
        <x:v>1.001</x:v>
      </x:c>
    </x:row>
    <x:row r="9">
      <x:c r="A9" s="22" t="str">
        <x:v>AVK</x:v>
      </x:c>
      <x:c r="B9" s="22" t="str">
        <x:v>2025</x:v>
      </x:c>
      <x:c r="C9" s="23" t="n">
        <x:v>0.15</x:v>
      </x:c>
      <x:c r="D9" s="23"/>
      <x:c r="E9" s="23"/>
      <x:c r="F9" s="23"/>
      <x:c r="G9" s="23"/>
      <x:c r="H9" s="23" t="n">
        <x:v>0.85</x:v>
      </x:c>
      <x:c r="I9" s="23"/>
      <x:c r="J9" s="23"/>
      <x:c r="K9" s="23"/>
      <x:c r="L9" s="23" t="n">
        <x:f>SUM(C9:K9)</x:f>
        <x:v>1</x:v>
      </x:c>
    </x:row>
    <x:row r="10">
      <x:c r="A10" s="18" t="str">
        <x:v>BTCI</x:v>
      </x:c>
      <x:c r="B10" s="18" t="str">
        <x:v>7/2025</x:v>
      </x:c>
      <x:c r="C10" s="19" t="n">
        <x:v>0.4446</x:v>
      </x:c>
      <x:c r="D10" s="19"/>
      <x:c r="E10" s="19"/>
      <x:c r="F10" s="19"/>
      <x:c r="G10" s="19"/>
      <x:c r="H10" s="19" t="n">
        <x:v>0.5554</x:v>
      </x:c>
      <x:c r="I10" s="19"/>
      <x:c r="J10" s="19"/>
      <x:c r="K10" s="19"/>
      <x:c r="L10" s="19" t="n">
        <x:f>SUM(C10:K10)</x:f>
        <x:v>1</x:v>
      </x:c>
    </x:row>
    <x:row r="11">
      <x:c r="A11" s="18" t="str">
        <x:v>CAIE</x:v>
      </x:c>
      <x:c r="B11" s="18" t="str">
        <x:v>12/2025</x:v>
      </x:c>
      <x:c r="C11" s="19" t="n">
        <x:v>0.8818</x:v>
      </x:c>
      <x:c r="D11" s="19"/>
      <x:c r="E11" s="19"/>
      <x:c r="F11" s="19"/>
      <x:c r="G11" s="19"/>
      <x:c r="H11" s="19" t="n">
        <x:v>0.1182</x:v>
      </x:c>
      <x:c r="I11" s="19"/>
      <x:c r="J11" s="19"/>
      <x:c r="K11" s="19"/>
      <x:c r="L11" s="19" t="n">
        <x:f>SUM(C11:K11)</x:f>
        <x:v>1</x:v>
      </x:c>
    </x:row>
    <x:row r="12">
      <x:c r="A12" s="18" t="str">
        <x:v>CAIE</x:v>
      </x:c>
      <x:c r="B12" s="18" t="str">
        <x:v>2025</x:v>
      </x:c>
      <x:c r="C12" s="19" t="n">
        <x:v>0.88</x:v>
      </x:c>
      <x:c r="D12" s="19"/>
      <x:c r="E12" s="19"/>
      <x:c r="F12" s="19"/>
      <x:c r="G12" s="19"/>
      <x:c r="H12" s="19"/>
      <x:c r="I12" s="19"/>
      <x:c r="J12" s="19"/>
      <x:c r="K12" s="19"/>
      <x:c r="L12" s="19" t="n">
        <x:f>SUM(C12:K12)</x:f>
        <x:v>0.88</x:v>
      </x:c>
    </x:row>
    <x:row r="13">
      <x:c r="A13" s="18" t="str">
        <x:v>CAIE</x:v>
      </x:c>
      <x:c r="B13" s="18" t="str">
        <x:v>2025</x:v>
      </x:c>
      <x:c r="C13" s="19" t="n">
        <x:v>0.882</x:v>
      </x:c>
      <x:c r="D13" s="19"/>
      <x:c r="E13" s="19"/>
      <x:c r="F13" s="19"/>
      <x:c r="G13" s="19"/>
      <x:c r="H13" s="19"/>
      <x:c r="I13" s="19"/>
      <x:c r="J13" s="19"/>
      <x:c r="K13" s="19"/>
      <x:c r="L13" s="19" t="n">
        <x:f>SUM(C13:K13)</x:f>
        <x:v>0.882</x:v>
      </x:c>
    </x:row>
    <x:row r="14">
      <x:c r="A14" s="18" t="str">
        <x:v>CAIQ</x:v>
      </x:c>
      <x:c r="B14" s="18" t="str">
        <x:v>12/2025</x:v>
      </x:c>
      <x:c r="C14" s="19" t="n">
        <x:v>0.9493</x:v>
      </x:c>
      <x:c r="D14" s="19"/>
      <x:c r="E14" s="19"/>
      <x:c r="F14" s="19"/>
      <x:c r="G14" s="19"/>
      <x:c r="H14" s="19" t="n">
        <x:v>0.0507</x:v>
      </x:c>
      <x:c r="I14" s="19"/>
      <x:c r="J14" s="19"/>
      <x:c r="K14" s="19"/>
      <x:c r="L14" s="19" t="n">
        <x:f>SUM(C14:K14)</x:f>
        <x:v>1</x:v>
      </x:c>
    </x:row>
    <x:row r="15">
      <x:c r="A15" s="22" t="str">
        <x:v>CEFS</x:v>
      </x:c>
      <x:c r="B15" s="22" t="str">
        <x:v>2025 (months held)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 t="n">
        <x:f>SUM(C15:K15)</x:f>
        <x:v>0</x:v>
      </x:c>
    </x:row>
    <x:row r="16">
      <x:c r="A16" s="18" t="str">
        <x:v>COIN</x:v>
      </x:c>
      <x:c r="B16" s="18" t="str">
        <x:v>2025</x:v>
      </x:c>
      <x:c r="C16" s="19" t="n">
        <x:v>0.971</x:v>
      </x:c>
      <x:c r="D16" s="19"/>
      <x:c r="E16" s="19" t="n">
        <x:v>0.028999999999999998</x:v>
      </x:c>
      <x:c r="F16" s="19"/>
      <x:c r="G16" s="19"/>
      <x:c r="H16" s="19"/>
      <x:c r="I16" s="19"/>
      <x:c r="J16" s="19"/>
      <x:c r="K16" s="19"/>
      <x:c r="L16" s="19" t="n">
        <x:f>SUM(C16:K16)</x:f>
        <x:v>1</x:v>
      </x:c>
    </x:row>
    <x:row r="17">
      <x:c r="A17" s="18" t="str">
        <x:v>CSWC</x:v>
      </x:c>
      <x:c r="B17" s="18" t="str">
        <x:v>2025</x:v>
      </x:c>
      <x:c r="C17" s="19"/>
      <x:c r="D17" s="19" t="n">
        <x:v>0.26</x:v>
      </x:c>
      <x:c r="E17" s="19" t="n">
        <x:v>0.74</x:v>
      </x:c>
      <x:c r="F17" s="19"/>
      <x:c r="G17" s="19"/>
      <x:c r="H17" s="19"/>
      <x:c r="I17" s="19"/>
      <x:c r="J17" s="19"/>
      <x:c r="K17" s="19"/>
      <x:c r="L17" s="19" t="n">
        <x:f>SUM(C17:K17)</x:f>
        <x:v>1</x:v>
      </x:c>
    </x:row>
    <x:row r="18">
      <x:c r="A18" s="22" t="str">
        <x:v>EMO</x:v>
      </x:c>
      <x:c r="B18" s="22" t="str">
        <x:v>2025</x:v>
      </x:c>
      <x:c r="C18" s="23" t="n">
        <x:v>0.823</x:v>
      </x:c>
      <x:c r="D18" s="23" t="n">
        <x:v>0.177</x:v>
      </x:c>
      <x:c r="E18" s="23"/>
      <x:c r="F18" s="23"/>
      <x:c r="G18" s="23"/>
      <x:c r="H18" s="23"/>
      <x:c r="I18" s="23"/>
      <x:c r="J18" s="23"/>
      <x:c r="K18" s="23"/>
      <x:c r="L18" s="23" t="n">
        <x:f>SUM(C18:K18)</x:f>
        <x:v>1</x:v>
      </x:c>
    </x:row>
    <x:row r="19">
      <x:c r="A19" s="18" t="str">
        <x:v>FEPI</x:v>
      </x:c>
      <x:c r="B19" s="18" t="str">
        <x:v>2025</x:v>
      </x:c>
      <x:c r="C19" s="19" t="n">
        <x:v>0.953</x:v>
      </x:c>
      <x:c r="D19" s="19"/>
      <x:c r="E19" s="19"/>
      <x:c r="F19" s="19"/>
      <x:c r="G19" s="19"/>
      <x:c r="H19" s="19" t="n">
        <x:v>0.047</x:v>
      </x:c>
      <x:c r="I19" s="19"/>
      <x:c r="J19" s="19"/>
      <x:c r="K19" s="19"/>
      <x:c r="L19" s="19" t="n">
        <x:f>SUM(C19:K19)</x:f>
        <x:v>1</x:v>
      </x:c>
    </x:row>
    <x:row r="20">
      <x:c r="A20" s="18" t="str">
        <x:v>FTHY</x:v>
      </x:c>
      <x:c r="B20" s="18" t="str">
        <x:v>2025</x:v>
      </x:c>
      <x:c r="C20" s="19" t="n">
        <x:v>1</x:v>
      </x:c>
      <x:c r="D20" s="19"/>
      <x:c r="E20" s="19"/>
      <x:c r="F20" s="19"/>
      <x:c r="G20" s="19"/>
      <x:c r="H20" s="19"/>
      <x:c r="I20" s="19"/>
      <x:c r="J20" s="19"/>
      <x:c r="K20" s="19"/>
      <x:c r="L20" s="19" t="n">
        <x:f>SUM(C20:K20)</x:f>
        <x:v>1</x:v>
      </x:c>
    </x:row>
    <x:row r="21">
      <x:c r="A21" s="22" t="str">
        <x:v>GAB</x:v>
      </x:c>
      <x:c r="B21" s="22" t="str">
        <x:v>2025</x:v>
      </x:c>
      <x:c r="C21" s="23" t="n">
        <x:v>0.17800000000000002</x:v>
      </x:c>
      <x:c r="D21" s="23" t="n">
        <x:v>0.075</x:v>
      </x:c>
      <x:c r="E21" s="23"/>
      <x:c r="F21" s="23" t="n">
        <x:v>0.72</x:v>
      </x:c>
      <x:c r="G21" s="23" t="n">
        <x:v>0.027000000000000003</x:v>
      </x:c>
      <x:c r="H21" s="23"/>
      <x:c r="I21" s="23"/>
      <x:c r="J21" s="23"/>
      <x:c r="K21" s="23"/>
      <x:c r="L21" s="23" t="n">
        <x:f>SUM(C21:K21)</x:f>
        <x:v>1</x:v>
      </x:c>
    </x:row>
    <x:row r="22">
      <x:c r="A22" s="18" t="str">
        <x:v>GPIQ</x:v>
      </x:c>
      <x:c r="B22" s="18" t="str">
        <x:v>2025</x:v>
      </x:c>
      <x:c r="C22" s="19" t="n">
        <x:v>0.9570000000000001</x:v>
      </x:c>
      <x:c r="D22" s="19"/>
      <x:c r="E22" s="19" t="n">
        <x:v>0.043</x:v>
      </x:c>
      <x:c r="F22" s="19"/>
      <x:c r="G22" s="19"/>
      <x:c r="H22" s="19"/>
      <x:c r="I22" s="19"/>
      <x:c r="J22" s="19"/>
      <x:c r="K22" s="19"/>
      <x:c r="L22" s="19" t="n">
        <x:f>SUM(C22:K22)</x:f>
        <x:v>1</x:v>
      </x:c>
    </x:row>
    <x:row r="23">
      <x:c r="A23" s="18" t="str">
        <x:v>GPIQ</x:v>
      </x:c>
      <x:c r="B23" s="18" t="str">
        <x:v>7/2025</x:v>
      </x:c>
      <x:c r="C23" s="19" t="n">
        <x:v>0.9564</x:v>
      </x:c>
      <x:c r="D23" s="19"/>
      <x:c r="E23" s="19"/>
      <x:c r="F23" s="19"/>
      <x:c r="G23" s="19"/>
      <x:c r="H23" s="19" t="n">
        <x:v>0.0436</x:v>
      </x:c>
      <x:c r="I23" s="19"/>
      <x:c r="J23" s="19"/>
      <x:c r="K23" s="19"/>
      <x:c r="L23" s="19" t="n">
        <x:f>SUM(C23:K23)</x:f>
        <x:v>1</x:v>
      </x:c>
    </x:row>
    <x:row r="24">
      <x:c r="A24" s="18" t="str">
        <x:v>GPIX</x:v>
      </x:c>
      <x:c r="B24" s="18" t="str">
        <x:v>2025</x:v>
      </x:c>
      <x:c r="C24" s="19" t="n">
        <x:v>0.875</x:v>
      </x:c>
      <x:c r="D24" s="19"/>
      <x:c r="E24" s="19" t="n">
        <x:v>0.125</x:v>
      </x:c>
      <x:c r="F24" s="19"/>
      <x:c r="G24" s="19"/>
      <x:c r="H24" s="19"/>
      <x:c r="I24" s="19"/>
      <x:c r="J24" s="19"/>
      <x:c r="K24" s="19"/>
      <x:c r="L24" s="19" t="n">
        <x:f>SUM(C24:K24)</x:f>
        <x:v>1</x:v>
      </x:c>
    </x:row>
    <x:row r="25">
      <x:c r="A25" s="18" t="str">
        <x:v>GPIX</x:v>
      </x:c>
      <x:c r="B25" s="18" t="str">
        <x:v>8/2025</x:v>
      </x:c>
      <x:c r="C25" s="19" t="n">
        <x:v>0.8753</x:v>
      </x:c>
      <x:c r="D25" s="19"/>
      <x:c r="E25" s="19"/>
      <x:c r="F25" s="19"/>
      <x:c r="G25" s="19"/>
      <x:c r="H25" s="19" t="n">
        <x:v>0.1247</x:v>
      </x:c>
      <x:c r="I25" s="19"/>
      <x:c r="J25" s="19"/>
      <x:c r="K25" s="19"/>
      <x:c r="L25" s="19" t="n">
        <x:f>SUM(C25:K25)</x:f>
        <x:v>1</x:v>
      </x:c>
    </x:row>
    <x:row r="26">
      <x:c r="A26" s="18" t="str">
        <x:v>IAUI</x:v>
      </x:c>
      <x:c r="B26" s="18" t="str">
        <x:v>7/2025</x:v>
      </x:c>
      <x:c r="C26" s="19"/>
      <x:c r="D26" s="19"/>
      <x:c r="E26" s="19"/>
      <x:c r="F26" s="19" t="n">
        <x:v>0.1263</x:v>
      </x:c>
      <x:c r="G26" s="19"/>
      <x:c r="H26" s="19" t="n">
        <x:v>0.8737</x:v>
      </x:c>
      <x:c r="I26" s="19"/>
      <x:c r="J26" s="19"/>
      <x:c r="K26" s="19"/>
      <x:c r="L26" s="19" t="n">
        <x:f>SUM(C26:K26)</x:f>
        <x:v>1</x:v>
      </x:c>
    </x:row>
    <x:row r="27">
      <x:c r="A27" s="18" t="str">
        <x:v>IDVO</x:v>
      </x:c>
      <x:c r="B27" s="18" t="str">
        <x:v>2025</x:v>
      </x:c>
      <x:c r="C27" s="19" t="n">
        <x:v>0.42</x:v>
      </x:c>
      <x:c r="D27" s="19" t="n">
        <x:v>0.21</x:v>
      </x:c>
      <x:c r="E27" s="19"/>
      <x:c r="F27" s="19"/>
      <x:c r="G27" s="19"/>
      <x:c r="H27" s="19"/>
      <x:c r="I27" s="19"/>
      <x:c r="J27" s="19"/>
      <x:c r="K27" s="19"/>
      <x:c r="L27" s="19" t="n">
        <x:f>SUM(C27:K27)</x:f>
        <x:v>0.63</x:v>
      </x:c>
    </x:row>
    <x:row r="28">
      <x:c r="A28" s="18" t="str">
        <x:v>IDVO</x:v>
      </x:c>
      <x:c r="B28" s="18" t="str">
        <x:v>2025</x:v>
      </x:c>
      <x:c r="C28" s="19"/>
      <x:c r="D28" s="19"/>
      <x:c r="E28" s="19"/>
      <x:c r="F28" s="19"/>
      <x:c r="G28" s="19"/>
      <x:c r="H28" s="19"/>
      <x:c r="I28" s="19"/>
      <x:c r="J28" s="19" t="n">
        <x:v>0.025</x:v>
      </x:c>
      <x:c r="K28" s="19"/>
      <x:c r="L28" s="19" t="n">
        <x:f>SUM(C28:K28)</x:f>
        <x:v>0.025</x:v>
      </x:c>
    </x:row>
    <x:row r="29">
      <x:c r="A29" s="18" t="str">
        <x:v>IWMI</x:v>
      </x:c>
      <x:c r="B29" s="18" t="str">
        <x:v>12/2025</x:v>
      </x:c>
      <x:c r="C29" s="19" t="n">
        <x:v>0.8199</x:v>
      </x:c>
      <x:c r="D29" s="19"/>
      <x:c r="E29" s="19"/>
      <x:c r="F29" s="19" t="n">
        <x:v>0.1801</x:v>
      </x:c>
      <x:c r="G29" s="19"/>
      <x:c r="H29" s="19"/>
      <x:c r="I29" s="19"/>
      <x:c r="J29" s="19"/>
      <x:c r="K29" s="19"/>
      <x:c r="L29" s="19" t="n">
        <x:f>SUM(C29:K29)</x:f>
        <x:v>1</x:v>
      </x:c>
    </x:row>
    <x:row r="30">
      <x:c r="A30" s="18" t="str">
        <x:v>IWMI</x:v>
      </x:c>
      <x:c r="B30" s="18" t="str">
        <x:v>2025</x:v>
      </x:c>
      <x:c r="C30" s="19" t="n">
        <x:v>0.96</x:v>
      </x:c>
      <x:c r="D30" s="19" t="n">
        <x:v>0.02</x:v>
      </x:c>
      <x:c r="E30" s="19" t="n">
        <x:v>0.01</x:v>
      </x:c>
      <x:c r="F30" s="19"/>
      <x:c r="G30" s="19"/>
      <x:c r="H30" s="19"/>
      <x:c r="I30" s="19"/>
      <x:c r="J30" s="19"/>
      <x:c r="K30" s="19"/>
      <x:c r="L30" s="19" t="n">
        <x:f>SUM(C30:K30)</x:f>
        <x:v>0.99</x:v>
      </x:c>
    </x:row>
    <x:row r="31">
      <x:c r="A31" s="18" t="str">
        <x:v>IWMI</x:v>
      </x:c>
      <x:c r="B31" s="18" t="str">
        <x:v>2025</x:v>
      </x:c>
      <x:c r="C31" s="19" t="n">
        <x:v>0.785</x:v>
      </x:c>
      <x:c r="D31" s="19" t="n">
        <x:v>0.07200000000000001</x:v>
      </x:c>
      <x:c r="E31" s="19" t="n">
        <x:v>0.025</x:v>
      </x:c>
      <x:c r="F31" s="19" t="n">
        <x:v>0.107</x:v>
      </x:c>
      <x:c r="G31" s="19"/>
      <x:c r="H31" s="19"/>
      <x:c r="I31" s="19"/>
      <x:c r="J31" s="19"/>
      <x:c r="K31" s="19"/>
      <x:c r="L31" s="19" t="n">
        <x:f>SUM(C31:K31)</x:f>
        <x:v>0.989</x:v>
      </x:c>
    </x:row>
    <x:row r="32">
      <x:c r="A32" s="18" t="str">
        <x:v>IYRI</x:v>
      </x:c>
      <x:c r="B32" s="18" t="str">
        <x:v>7/2025</x:v>
      </x:c>
      <x:c r="C32" s="19" t="n">
        <x:v>0.2234</x:v>
      </x:c>
      <x:c r="D32" s="19"/>
      <x:c r="E32" s="19"/>
      <x:c r="F32" s="19" t="n">
        <x:v>0.0255</x:v>
      </x:c>
      <x:c r="G32" s="19"/>
      <x:c r="H32" s="19" t="n">
        <x:v>0.4525</x:v>
      </x:c>
      <x:c r="I32" s="19" t="n">
        <x:v>0.2985</x:v>
      </x:c>
      <x:c r="J32" s="19"/>
      <x:c r="K32" s="19"/>
      <x:c r="L32" s="19" t="n">
        <x:f>SUM(C32:K32)</x:f>
        <x:v>0.9999</x:v>
      </x:c>
    </x:row>
    <x:row r="33">
      <x:c r="A33" s="22" t="str">
        <x:v>JEPQ</x:v>
      </x:c>
      <x:c r="B33" s="22" t="str">
        <x:v>2025</x:v>
      </x:c>
      <x:c r="C33" s="23"/>
      <x:c r="D33" s="23"/>
      <x:c r="E33" s="23"/>
      <x:c r="F33" s="23"/>
      <x:c r="G33" s="23"/>
      <x:c r="H33" s="23" t="n">
        <x:v>1</x:v>
      </x:c>
      <x:c r="I33" s="23"/>
      <x:c r="J33" s="23"/>
      <x:c r="K33" s="23"/>
      <x:c r="L33" s="23" t="n">
        <x:f>SUM(C33:K33)</x:f>
        <x:v>1</x:v>
      </x:c>
    </x:row>
    <x:row r="34">
      <x:c r="A34" s="18" t="str">
        <x:v>JEPQ</x:v>
      </x:c>
      <x:c r="B34" s="18" t="str">
        <x:v>7/2025</x:v>
      </x:c>
      <x:c r="C34" s="19" t="n">
        <x:v>0</x:v>
      </x:c>
      <x:c r="D34" s="19" t="n">
        <x:v>0.051</x:v>
      </x:c>
      <x:c r="E34" s="19"/>
      <x:c r="F34" s="19"/>
      <x:c r="G34" s="19"/>
      <x:c r="H34" s="19" t="n">
        <x:v>0.9490000000000001</x:v>
      </x:c>
      <x:c r="I34" s="19"/>
      <x:c r="J34" s="19"/>
      <x:c r="K34" s="19"/>
      <x:c r="L34" s="19" t="n">
        <x:f>SUM(C34:K34)</x:f>
        <x:v>1</x:v>
      </x:c>
    </x:row>
    <x:row r="35">
      <x:c r="A35" s="22" t="str">
        <x:v>JRI</x:v>
      </x:c>
      <x:c r="B35" s="22" t="str">
        <x:v>2025</x:v>
      </x:c>
      <x:c r="C35" s="23" t="n">
        <x:v>0.49</x:v>
      </x:c>
      <x:c r="D35" s="23" t="n">
        <x:v>0.24</x:v>
      </x:c>
      <x:c r="E35" s="23"/>
      <x:c r="F35" s="23"/>
      <x:c r="G35" s="23"/>
      <x:c r="H35" s="23" t="n">
        <x:v>0.18</x:v>
      </x:c>
      <x:c r="I35" s="23" t="n">
        <x:v>0.09</x:v>
      </x:c>
      <x:c r="J35" s="23"/>
      <x:c r="K35" s="23"/>
      <x:c r="L35" s="23" t="n">
        <x:f>SUM(C35:K35)</x:f>
        <x:v>0.9999999999999999</x:v>
      </x:c>
    </x:row>
    <x:row r="36">
      <x:c r="A36" s="18" t="str">
        <x:v>KRP</x:v>
      </x:c>
      <x:c r="B36" s="18" t="str">
        <x:v>2025</x:v>
      </x:c>
      <x:c r="C36" s="19" t="n">
        <x:v>1</x:v>
      </x:c>
      <x:c r="D36" s="19"/>
      <x:c r="E36" s="19"/>
      <x:c r="F36" s="19"/>
      <x:c r="G36" s="19"/>
      <x:c r="H36" s="19"/>
      <x:c r="I36" s="19"/>
      <x:c r="J36" s="19"/>
      <x:c r="K36" s="19"/>
      <x:c r="L36" s="19" t="n">
        <x:f>SUM(C36:K36)</x:f>
        <x:v>1</x:v>
      </x:c>
    </x:row>
    <x:row r="37">
      <x:c r="A37" s="22" t="str">
        <x:v>MSIF</x:v>
      </x:c>
      <x:c r="B37" s="22" t="str">
        <x:v>2025</x:v>
      </x:c>
      <x:c r="C37" s="23"/>
      <x:c r="D37" s="23" t="n">
        <x:v>0.18</x:v>
      </x:c>
      <x:c r="E37" s="23"/>
      <x:c r="F37" s="23" t="n">
        <x:v>0.01</x:v>
      </x:c>
      <x:c r="G37" s="23"/>
      <x:c r="H37" s="23" t="n">
        <x:v>0.81</x:v>
      </x:c>
      <x:c r="I37" s="23"/>
      <x:c r="J37" s="23"/>
      <x:c r="K37" s="23"/>
      <x:c r="L37" s="23" t="n">
        <x:f>SUM(C37:K37)</x:f>
        <x:v>1</x:v>
      </x:c>
    </x:row>
    <x:row r="38">
      <x:c r="A38" s="18" t="str">
        <x:v>MSTR</x:v>
      </x:c>
      <x:c r="B38" s="18" t="str">
        <x:v>2025</x:v>
      </x:c>
      <x:c r="C38" s="19" t="n">
        <x:v>1</x:v>
      </x:c>
      <x:c r="D38" s="19"/>
      <x:c r="E38" s="19"/>
      <x:c r="F38" s="19"/>
      <x:c r="G38" s="19"/>
      <x:c r="H38" s="19"/>
      <x:c r="I38" s="19"/>
      <x:c r="J38" s="19"/>
      <x:c r="K38" s="19"/>
      <x:c r="L38" s="19" t="n">
        <x:f>SUM(C38:K38)</x:f>
        <x:v>1</x:v>
      </x:c>
    </x:row>
    <x:row r="39">
      <x:c r="A39" s="18" t="str">
        <x:v>NAD</x:v>
      </x:c>
      <x:c r="B39" s="18" t="str">
        <x:v>2025</x:v>
      </x:c>
      <x:c r="C39" s="19" t="n">
        <x:v>0.316</x:v>
      </x:c>
      <x:c r="D39" s="19"/>
      <x:c r="E39" s="19"/>
      <x:c r="F39" s="19"/>
      <x:c r="G39" s="19"/>
      <x:c r="H39" s="19" t="n">
        <x:v>0.003</x:v>
      </x:c>
      <x:c r="I39" s="19"/>
      <x:c r="J39" s="19"/>
      <x:c r="K39" s="19" t="n">
        <x:v>0.6809999999999999</x:v>
      </x:c>
      <x:c r="L39" s="19" t="n">
        <x:f>SUM(C39:K39)</x:f>
        <x:v>1</x:v>
      </x:c>
    </x:row>
    <x:row r="40">
      <x:c r="A40" s="18" t="str">
        <x:v>NXG</x:v>
      </x:c>
      <x:c r="B40" s="18" t="str">
        <x:v>2025</x:v>
      </x:c>
      <x:c r="C40" s="19" t="n">
        <x:v>0.98</x:v>
      </x:c>
      <x:c r="D40" s="19"/>
      <x:c r="E40" s="19"/>
      <x:c r="F40" s="19"/>
      <x:c r="G40" s="19"/>
      <x:c r="H40" s="19"/>
      <x:c r="I40" s="19"/>
      <x:c r="J40" s="19"/>
      <x:c r="K40" s="19"/>
      <x:c r="L40" s="19" t="n">
        <x:f>SUM(C40:K40)</x:f>
        <x:v>0.98</x:v>
      </x:c>
    </x:row>
    <x:row r="41">
      <x:c r="A41" s="18" t="str">
        <x:v>PFFA</x:v>
      </x:c>
      <x:c r="B41" s="18" t="str">
        <x:v>2021</x:v>
      </x:c>
      <x:c r="C41" s="19" t="n">
        <x:v>0.010700000000000001</x:v>
      </x:c>
      <x:c r="D41" s="19" t="n">
        <x:v>0.5912</x:v>
      </x:c>
      <x:c r="E41" s="19"/>
      <x:c r="F41" s="19" t="n">
        <x:v>0.09179999999999999</x:v>
      </x:c>
      <x:c r="G41" s="19"/>
      <x:c r="H41" s="19"/>
      <x:c r="I41" s="19"/>
      <x:c r="J41" s="19"/>
      <x:c r="K41" s="19"/>
      <x:c r="L41" s="19" t="n">
        <x:f>SUM(C41:K41)</x:f>
        <x:v>0.6937</x:v>
      </x:c>
    </x:row>
    <x:row r="42">
      <x:c r="A42" s="18" t="str">
        <x:v>PFFA</x:v>
      </x:c>
      <x:c r="B42" s="18" t="str">
        <x:v>2022</x:v>
      </x:c>
      <x:c r="C42" s="19" t="n">
        <x:v>0</x:v>
      </x:c>
      <x:c r="D42" s="19" t="n">
        <x:v>0.4404</x:v>
      </x:c>
      <x:c r="E42" s="19"/>
      <x:c r="F42" s="19" t="n">
        <x:v>0.13849999999999998</x:v>
      </x:c>
      <x:c r="G42" s="19"/>
      <x:c r="H42" s="19"/>
      <x:c r="I42" s="19"/>
      <x:c r="J42" s="19"/>
      <x:c r="K42" s="19"/>
      <x:c r="L42" s="19" t="n">
        <x:f>SUM(C42:K42)</x:f>
        <x:v>0.5789</x:v>
      </x:c>
    </x:row>
    <x:row r="43">
      <x:c r="A43" s="18" t="str">
        <x:v>PFFA</x:v>
      </x:c>
      <x:c r="B43" s="18" t="str">
        <x:v>2023</x:v>
      </x:c>
      <x:c r="C43" s="19" t="n">
        <x:v>0.285</x:v>
      </x:c>
      <x:c r="D43" s="19" t="n">
        <x:v>0.49219999999999997</x:v>
      </x:c>
      <x:c r="E43" s="19"/>
      <x:c r="F43" s="19" t="n">
        <x:v>0</x:v>
      </x:c>
      <x:c r="G43" s="19"/>
      <x:c r="H43" s="19"/>
      <x:c r="I43" s="19"/>
      <x:c r="J43" s="19"/>
      <x:c r="K43" s="19"/>
      <x:c r="L43" s="19" t="n">
        <x:f>SUM(C43:K43)</x:f>
        <x:v>0.7771999999999999</x:v>
      </x:c>
    </x:row>
    <x:row r="44">
      <x:c r="A44" s="18" t="str">
        <x:v>PFFA</x:v>
      </x:c>
      <x:c r="B44" s="18" t="str">
        <x:v>2024</x:v>
      </x:c>
      <x:c r="C44" s="19" t="n">
        <x:v>0.0542</x:v>
      </x:c>
      <x:c r="D44" s="19" t="n">
        <x:v>0.3987</x:v>
      </x:c>
      <x:c r="E44" s="19"/>
      <x:c r="F44" s="19" t="n">
        <x:v>0.1369</x:v>
      </x:c>
      <x:c r="G44" s="19"/>
      <x:c r="H44" s="19"/>
      <x:c r="I44" s="19"/>
      <x:c r="J44" s="19"/>
      <x:c r="K44" s="19"/>
      <x:c r="L44" s="19" t="n">
        <x:f>SUM(C44:K44)</x:f>
        <x:v>0.5898</x:v>
      </x:c>
    </x:row>
    <x:row r="45">
      <x:c r="A45" s="22" t="str">
        <x:v>PFFA</x:v>
      </x:c>
      <x:c r="B45" s="22" t="str">
        <x:v>2025</x:v>
      </x:c>
      <x:c r="C45" s="23" t="n">
        <x:v>0.13</x:v>
      </x:c>
      <x:c r="D45" s="23" t="n">
        <x:v>0.55</x:v>
      </x:c>
      <x:c r="E45" s="23"/>
      <x:c r="F45" s="23" t="n">
        <x:v>0.12</x:v>
      </x:c>
      <x:c r="G45" s="23"/>
      <x:c r="H45" s="23" t="n">
        <x:v>0.01</x:v>
      </x:c>
      <x:c r="I45" s="23" t="n">
        <x:v>0.19</x:v>
      </x:c>
      <x:c r="J45" s="23"/>
      <x:c r="K45" s="23"/>
      <x:c r="L45" s="23" t="n">
        <x:f>SUM(C45:K45)</x:f>
        <x:v>1</x:v>
      </x:c>
    </x:row>
    <x:row r="46">
      <x:c r="A46" s="18" t="str">
        <x:v>PFFA</x:v>
      </x:c>
      <x:c r="B46" s="18" t="str">
        <x:v>2025</x:v>
      </x:c>
      <x:c r="C46" s="19" t="n">
        <x:v>0.19</x:v>
      </x:c>
      <x:c r="D46" s="19" t="n">
        <x:v>0.79</x:v>
      </x:c>
      <x:c r="E46" s="19" t="n">
        <x:v>0.02</x:v>
      </x:c>
      <x:c r="F46" s="19"/>
      <x:c r="G46" s="19"/>
      <x:c r="H46" s="19"/>
      <x:c r="I46" s="19"/>
      <x:c r="J46" s="19"/>
      <x:c r="K46" s="19"/>
      <x:c r="L46" s="19" t="n">
        <x:f>SUM(C46:K46)</x:f>
        <x:v>1</x:v>
      </x:c>
    </x:row>
    <x:row r="47">
      <x:c r="A47" s="18" t="str">
        <x:v>PFFA</x:v>
      </x:c>
      <x:c r="B47" s="18" t="str">
        <x:v>2025</x:v>
      </x:c>
      <x:c r="C47" s="19" t="n">
        <x:v>0.13</x:v>
      </x:c>
      <x:c r="D47" s="19" t="n">
        <x:v>0.56</x:v>
      </x:c>
      <x:c r="E47" s="19" t="n">
        <x:v>0.21</x:v>
      </x:c>
      <x:c r="F47" s="19" t="n">
        <x:v>0.1</x:v>
      </x:c>
      <x:c r="G47" s="19"/>
      <x:c r="H47" s="19"/>
      <x:c r="I47" s="19"/>
      <x:c r="J47" s="19"/>
      <x:c r="K47" s="19"/>
      <x:c r="L47" s="19" t="n">
        <x:f>SUM(C47:K47)</x:f>
        <x:v>1</x:v>
      </x:c>
    </x:row>
    <x:row r="48">
      <x:c r="A48" s="18" t="str">
        <x:v>PFFA</x:v>
      </x:c>
      <x:c r="B48" s="18" t="str">
        <x:v>2025</x:v>
      </x:c>
      <x:c r="C48" s="19" t="n">
        <x:v>0.11320000000000001</x:v>
      </x:c>
      <x:c r="D48" s="19" t="n">
        <x:v>0.47259999999999996</x:v>
      </x:c>
      <x:c r="E48" s="19"/>
      <x:c r="F48" s="19" t="n">
        <x:v>0.07690000000000001</x:v>
      </x:c>
      <x:c r="G48" s="19"/>
      <x:c r="H48" s="19" t="n">
        <x:v>0.1748</x:v>
      </x:c>
      <x:c r="I48" s="19" t="n">
        <x:v>0.1624</x:v>
      </x:c>
      <x:c r="J48" s="19"/>
      <x:c r="K48" s="19"/>
      <x:c r="L48" s="19" t="n">
        <x:f>SUM(C48:K48)</x:f>
        <x:v>0.9998999999999999</x:v>
      </x:c>
    </x:row>
    <x:row r="49">
      <x:c r="A49" s="22" t="str">
        <x:v>PFFA</x:v>
      </x:c>
      <x:c r="B49" s="22" t="str">
        <x:v>2025 (2 months)</x:v>
      </x:c>
      <x:c r="C49" s="23" t="n">
        <x:v>0.162</x:v>
      </x:c>
      <x:c r="D49" s="23"/>
      <x:c r="E49" s="23"/>
      <x:c r="F49" s="23"/>
      <x:c r="G49" s="23"/>
      <x:c r="H49" s="23" t="n">
        <x:v>0.838</x:v>
      </x:c>
      <x:c r="I49" s="23"/>
      <x:c r="J49" s="23"/>
      <x:c r="K49" s="23"/>
      <x:c r="L49" s="23" t="n">
        <x:f>SUM(C49:K49)</x:f>
        <x:v>1</x:v>
      </x:c>
    </x:row>
    <x:row r="50">
      <x:c r="A50" s="22" t="str">
        <x:v>PTA</x:v>
      </x:c>
      <x:c r="B50" s="22" t="str">
        <x:v>2025</x:v>
      </x:c>
      <x:c r="C50" s="23" t="n">
        <x:v>0.091</x:v>
      </x:c>
      <x:c r="D50" s="23" t="n">
        <x:v>0.909</x:v>
      </x:c>
      <x:c r="E50" s="23"/>
      <x:c r="F50" s="23"/>
      <x:c r="G50" s="23"/>
      <x:c r="H50" s="23"/>
      <x:c r="I50" s="23"/>
      <x:c r="J50" s="23"/>
      <x:c r="K50" s="23"/>
      <x:c r="L50" s="23" t="n">
        <x:f>SUM(C50:K50)</x:f>
        <x:v>1</x:v>
      </x:c>
    </x:row>
    <x:row r="51">
      <x:c r="A51" s="18" t="str">
        <x:v>QDTE</x:v>
      </x:c>
      <x:c r="B51" s="18" t="str">
        <x:v>2025</x:v>
      </x:c>
      <x:c r="C51" s="19" t="n">
        <x:v>1</x:v>
      </x:c>
      <x:c r="D51" s="19"/>
      <x:c r="E51" s="19"/>
      <x:c r="F51" s="19"/>
      <x:c r="G51" s="19"/>
      <x:c r="H51" s="19"/>
      <x:c r="I51" s="19"/>
      <x:c r="J51" s="19"/>
      <x:c r="K51" s="19"/>
      <x:c r="L51" s="19" t="n">
        <x:f>SUM(C51:K51)</x:f>
        <x:v>1</x:v>
      </x:c>
    </x:row>
    <x:row r="52">
      <x:c r="A52" s="22" t="str">
        <x:v>QDVO</x:v>
      </x:c>
      <x:c r="B52" s="22" t="str">
        <x:v>2025</x:v>
      </x:c>
      <x:c r="C52" s="23" t="n">
        <x:v>0.9338</x:v>
      </x:c>
      <x:c r="D52" s="23"/>
      <x:c r="E52" s="23"/>
      <x:c r="F52" s="23"/>
      <x:c r="G52" s="23"/>
      <x:c r="H52" s="23"/>
      <x:c r="I52" s="23"/>
      <x:c r="J52" s="23"/>
      <x:c r="K52" s="23"/>
      <x:c r="L52" s="23" t="n">
        <x:f>SUM(C52:K52)</x:f>
        <x:v>0.9338</x:v>
      </x:c>
    </x:row>
    <x:row r="53">
      <x:c r="A53" s="18" t="str">
        <x:v>QDVO</x:v>
      </x:c>
      <x:c r="B53" s="18" t="str">
        <x:v>2025</x:v>
      </x:c>
      <x:c r="C53" s="19" t="n">
        <x:v>0.83</x:v>
      </x:c>
      <x:c r="D53" s="19"/>
      <x:c r="E53" s="19"/>
      <x:c r="F53" s="19"/>
      <x:c r="G53" s="19"/>
      <x:c r="H53" s="19"/>
      <x:c r="I53" s="19"/>
      <x:c r="J53" s="19"/>
      <x:c r="K53" s="19"/>
      <x:c r="L53" s="19" t="n">
        <x:f>SUM(C53:K53)</x:f>
        <x:v>0.83</x:v>
      </x:c>
    </x:row>
    <x:row r="54">
      <x:c r="A54" s="18" t="str">
        <x:v>QLDY</x:v>
      </x:c>
      <x:c r="B54" s="18" t="str">
        <x:v>2025</x:v>
      </x:c>
      <x:c r="C54" s="19"/>
      <x:c r="D54" s="19"/>
      <x:c r="E54" s="19" t="n">
        <x:v>1</x:v>
      </x:c>
      <x:c r="F54" s="19"/>
      <x:c r="G54" s="19"/>
      <x:c r="H54" s="19"/>
      <x:c r="I54" s="19"/>
      <x:c r="J54" s="19"/>
      <x:c r="K54" s="19"/>
      <x:c r="L54" s="19" t="n">
        <x:f>SUM(C54:K54)</x:f>
        <x:v>1</x:v>
      </x:c>
    </x:row>
    <x:row r="55">
      <x:c r="A55" s="18" t="str">
        <x:v>QQQI</x:v>
      </x:c>
      <x:c r="B55" s="18" t="str">
        <x:v>2025</x:v>
      </x:c>
      <x:c r="C55" s="19" t="n">
        <x:v>0.99</x:v>
      </x:c>
      <x:c r="D55" s="19" t="n">
        <x:v>0.01</x:v>
      </x:c>
      <x:c r="E55" s="19"/>
      <x:c r="F55" s="19"/>
      <x:c r="G55" s="19"/>
      <x:c r="H55" s="19"/>
      <x:c r="I55" s="19"/>
      <x:c r="J55" s="19"/>
      <x:c r="K55" s="19"/>
      <x:c r="L55" s="19" t="n">
        <x:f>SUM(C55:K55)</x:f>
        <x:v>1</x:v>
      </x:c>
    </x:row>
    <x:row r="56">
      <x:c r="A56" s="18" t="str">
        <x:v>QQQI</x:v>
      </x:c>
      <x:c r="B56" s="18" t="str">
        <x:v>2025</x:v>
      </x:c>
      <x:c r="C56" s="19" t="n">
        <x:v>0.993</x:v>
      </x:c>
      <x:c r="D56" s="19" t="n">
        <x:v>0.006999999999999999</x:v>
      </x:c>
      <x:c r="E56" s="19"/>
      <x:c r="F56" s="19"/>
      <x:c r="G56" s="19"/>
      <x:c r="H56" s="19"/>
      <x:c r="I56" s="19"/>
      <x:c r="J56" s="19"/>
      <x:c r="K56" s="19"/>
      <x:c r="L56" s="19" t="n">
        <x:f>SUM(C56:K56)</x:f>
        <x:v>1</x:v>
      </x:c>
    </x:row>
    <x:row r="57">
      <x:c r="A57" s="18" t="str">
        <x:v>QQQI</x:v>
      </x:c>
      <x:c r="B57" s="18" t="str">
        <x:v>7/2025</x:v>
      </x:c>
      <x:c r="C57" s="19" t="n">
        <x:v>0.996</x:v>
      </x:c>
      <x:c r="D57" s="19"/>
      <x:c r="E57" s="19"/>
      <x:c r="F57" s="19"/>
      <x:c r="G57" s="19"/>
      <x:c r="H57" s="19"/>
      <x:c r="I57" s="19"/>
      <x:c r="J57" s="19"/>
      <x:c r="K57" s="19"/>
      <x:c r="L57" s="19" t="n">
        <x:f>SUM(C57:K57)</x:f>
        <x:v>0.996</x:v>
      </x:c>
    </x:row>
    <x:row r="58">
      <x:c r="A58" s="18" t="str">
        <x:v>QQQI</x:v>
      </x:c>
      <x:c r="B58" s="18" t="str">
        <x:v>9/2025</x:v>
      </x:c>
      <x:c r="C58" s="19" t="n">
        <x:v>0.996</x:v>
      </x:c>
      <x:c r="D58" s="19"/>
      <x:c r="E58" s="19"/>
      <x:c r="F58" s="19"/>
      <x:c r="G58" s="19"/>
      <x:c r="H58" s="19"/>
      <x:c r="I58" s="19"/>
      <x:c r="J58" s="19"/>
      <x:c r="K58" s="19"/>
      <x:c r="L58" s="19" t="n">
        <x:f>SUM(C58:K58)</x:f>
        <x:v>0.996</x:v>
      </x:c>
    </x:row>
    <x:row r="59">
      <x:c r="A59" s="18" t="str">
        <x:v>RDTE</x:v>
      </x:c>
      <x:c r="B59" s="18" t="str">
        <x:v>2025</x:v>
      </x:c>
      <x:c r="C59" s="19" t="n">
        <x:v>0.657</x:v>
      </x:c>
      <x:c r="D59" s="19"/>
      <x:c r="E59" s="19" t="n">
        <x:v>0.11800000000000001</x:v>
      </x:c>
      <x:c r="F59" s="19" t="n">
        <x:v>0.22399999999999998</x:v>
      </x:c>
      <x:c r="G59" s="19"/>
      <x:c r="H59" s="19"/>
      <x:c r="I59" s="19"/>
      <x:c r="J59" s="19"/>
      <x:c r="K59" s="19"/>
      <x:c r="L59" s="19" t="n">
        <x:f>SUM(C59:K59)</x:f>
        <x:v>0.999</x:v>
      </x:c>
    </x:row>
    <x:row r="60">
      <x:c r="A60" s="22" t="str">
        <x:v>RLTY</x:v>
      </x:c>
      <x:c r="B60" s="22" t="str">
        <x:v>2025</x:v>
      </x:c>
      <x:c r="C60" s="23" t="n">
        <x:v>0.6659999999999999</x:v>
      </x:c>
      <x:c r="D60" s="23" t="n">
        <x:v>0.22899999999999998</x:v>
      </x:c>
      <x:c r="E60" s="23"/>
      <x:c r="F60" s="23"/>
      <x:c r="G60" s="23"/>
      <x:c r="H60" s="23"/>
      <x:c r="I60" s="23" t="n">
        <x:v>0.105</x:v>
      </x:c>
      <x:c r="J60" s="23"/>
      <x:c r="K60" s="23"/>
      <x:c r="L60" s="23" t="n">
        <x:f>SUM(C60:K60)</x:f>
        <x:v>0.9999999999999999</x:v>
      </x:c>
    </x:row>
    <x:row r="61">
      <x:c r="A61" s="18" t="str">
        <x:v>RWT</x:v>
      </x:c>
      <x:c r="B61" s="18" t="str">
        <x:v>2025</x:v>
      </x:c>
      <x:c r="C61" s="19" t="n">
        <x:v>0.5920000000000001</x:v>
      </x:c>
      <x:c r="D61" s="19" t="n">
        <x:v>0.016</x:v>
      </x:c>
      <x:c r="E61" s="19"/>
      <x:c r="F61" s="19"/>
      <x:c r="G61" s="19"/>
      <x:c r="H61" s="19"/>
      <x:c r="I61" s="19" t="n">
        <x:v>0.392</x:v>
      </x:c>
      <x:c r="J61" s="19"/>
      <x:c r="K61" s="19"/>
      <x:c r="L61" s="19" t="n">
        <x:f>SUM(C61:K61)</x:f>
        <x:v>1</x:v>
      </x:c>
    </x:row>
    <x:row r="62">
      <x:c r="A62" s="18" t="str">
        <x:v>SCHD</x:v>
      </x:c>
      <x:c r="B62" s="18" t="str">
        <x:v>2025</x:v>
      </x:c>
      <x:c r="C62" s="19"/>
      <x:c r="D62" s="19" t="n">
        <x:v>0.98</x:v>
      </x:c>
      <x:c r="E62" s="19" t="n">
        <x:v>0.02</x:v>
      </x:c>
      <x:c r="F62" s="19"/>
      <x:c r="G62" s="19"/>
      <x:c r="H62" s="19"/>
      <x:c r="I62" s="19"/>
      <x:c r="J62" s="19"/>
      <x:c r="K62" s="19"/>
      <x:c r="L62" s="19" t="n">
        <x:f>SUM(C62:K62)</x:f>
        <x:v>1</x:v>
      </x:c>
    </x:row>
    <x:row r="63">
      <x:c r="A63" s="18" t="str">
        <x:v>SCHY</x:v>
      </x:c>
      <x:c r="B63" s="18" t="str">
        <x:v>2025</x:v>
      </x:c>
      <x:c r="C63" s="19"/>
      <x:c r="D63" s="19"/>
      <x:c r="E63" s="19"/>
      <x:c r="F63" s="19"/>
      <x:c r="G63" s="19"/>
      <x:c r="H63" s="19"/>
      <x:c r="I63" s="19"/>
      <x:c r="J63" s="19" t="n">
        <x:v>0.07400000000000001</x:v>
      </x:c>
      <x:c r="K63" s="19"/>
      <x:c r="L63" s="19" t="n">
        <x:f>SUM(C63:K63)</x:f>
        <x:v>0.07400000000000001</x:v>
      </x:c>
    </x:row>
    <x:row r="64">
      <x:c r="A64" s="18" t="str">
        <x:v>SGOV</x:v>
      </x:c>
      <x:c r="B64" s="18" t="str">
        <x:v>2025</x:v>
      </x:c>
      <x:c r="C64" s="19"/>
      <x:c r="D64" s="19"/>
      <x:c r="E64" s="19" t="n">
        <x:v>1</x:v>
      </x:c>
      <x:c r="F64" s="19"/>
      <x:c r="G64" s="19"/>
      <x:c r="H64" s="19"/>
      <x:c r="I64" s="19"/>
      <x:c r="J64" s="19"/>
      <x:c r="K64" s="19"/>
      <x:c r="L64" s="19" t="n">
        <x:f>SUM(C64:K64)</x:f>
        <x:v>1</x:v>
      </x:c>
    </x:row>
    <x:row r="65">
      <x:c r="A65" s="18" t="str">
        <x:v>SPYI</x:v>
      </x:c>
      <x:c r="B65" s="18" t="str">
        <x:v>2025</x:v>
      </x:c>
      <x:c r="C65" s="19" t="n">
        <x:v>0.95</x:v>
      </x:c>
      <x:c r="D65" s="19" t="n">
        <x:v>0.05</x:v>
      </x:c>
      <x:c r="E65" s="19"/>
      <x:c r="F65" s="19"/>
      <x:c r="G65" s="19"/>
      <x:c r="H65" s="19"/>
      <x:c r="I65" s="19"/>
      <x:c r="J65" s="19"/>
      <x:c r="K65" s="19"/>
      <x:c r="L65" s="19" t="n">
        <x:f>SUM(C65:K65)</x:f>
        <x:v>1</x:v>
      </x:c>
    </x:row>
    <x:row r="66">
      <x:c r="A66" s="18" t="str">
        <x:v>SPYI</x:v>
      </x:c>
      <x:c r="B66" s="18" t="str">
        <x:v>2025</x:v>
      </x:c>
      <x:c r="C66" s="19" t="n">
        <x:v>0.9490000000000001</x:v>
      </x:c>
      <x:c r="D66" s="19" t="n">
        <x:v>0.051</x:v>
      </x:c>
      <x:c r="E66" s="19"/>
      <x:c r="F66" s="19"/>
      <x:c r="G66" s="19"/>
      <x:c r="H66" s="19"/>
      <x:c r="I66" s="19"/>
      <x:c r="J66" s="19"/>
      <x:c r="K66" s="19"/>
      <x:c r="L66" s="19" t="n">
        <x:f>SUM(C66:K66)</x:f>
        <x:v>1</x:v>
      </x:c>
    </x:row>
    <x:row r="67">
      <x:c r="A67" s="18" t="str">
        <x:v>SPYI</x:v>
      </x:c>
      <x:c r="B67" s="18" t="str">
        <x:v>7/2025</x:v>
      </x:c>
      <x:c r="C67" s="19" t="n">
        <x:v>0.9528</x:v>
      </x:c>
      <x:c r="D67" s="19" t="n">
        <x:v>0.0472</x:v>
      </x:c>
      <x:c r="E67" s="19"/>
      <x:c r="F67" s="19"/>
      <x:c r="G67" s="19"/>
      <x:c r="H67" s="19"/>
      <x:c r="I67" s="19"/>
      <x:c r="J67" s="19"/>
      <x:c r="K67" s="19"/>
      <x:c r="L67" s="19" t="n">
        <x:f>SUM(C67:K67)</x:f>
        <x:v>1</x:v>
      </x:c>
    </x:row>
    <x:row r="68">
      <x:c r="A68" s="18" t="str">
        <x:v>STRC</x:v>
      </x:c>
      <x:c r="B68" s="18" t="str">
        <x:v>2025</x:v>
      </x:c>
      <x:c r="C68" s="19" t="n">
        <x:v>1</x:v>
      </x:c>
      <x:c r="D68" s="19"/>
      <x:c r="E68" s="19"/>
      <x:c r="F68" s="19"/>
      <x:c r="G68" s="19"/>
      <x:c r="H68" s="19"/>
      <x:c r="I68" s="19"/>
      <x:c r="J68" s="19"/>
      <x:c r="K68" s="19"/>
      <x:c r="L68" s="19" t="n">
        <x:f>SUM(C68:K68)</x:f>
        <x:v>1</x:v>
      </x:c>
    </x:row>
    <x:row r="69">
      <x:c r="A69" s="18" t="str">
        <x:v>STRK</x:v>
      </x:c>
      <x:c r="B69" s="18" t="str">
        <x:v>2025</x:v>
      </x:c>
      <x:c r="C69" s="19" t="n">
        <x:v>1</x:v>
      </x:c>
      <x:c r="D69" s="19"/>
      <x:c r="E69" s="19"/>
      <x:c r="F69" s="19"/>
      <x:c r="G69" s="19"/>
      <x:c r="H69" s="19"/>
      <x:c r="I69" s="19"/>
      <x:c r="J69" s="19"/>
      <x:c r="K69" s="19"/>
      <x:c r="L69" s="19" t="n">
        <x:f>SUM(C69:K69)</x:f>
        <x:v>1</x:v>
      </x:c>
    </x:row>
    <x:row r="70">
      <x:c r="A70" s="18" t="str">
        <x:v>SVOL</x:v>
      </x:c>
      <x:c r="B70" s="18" t="str">
        <x:v>2025</x:v>
      </x:c>
      <x:c r="C70" s="19" t="n">
        <x:v>1</x:v>
      </x:c>
      <x:c r="D70" s="19"/>
      <x:c r="E70" s="19"/>
      <x:c r="F70" s="19"/>
      <x:c r="G70" s="19"/>
      <x:c r="H70" s="19"/>
      <x:c r="I70" s="19"/>
      <x:c r="J70" s="19"/>
      <x:c r="K70" s="19"/>
      <x:c r="L70" s="19" t="n">
        <x:f>SUM(C70:K70)</x:f>
        <x:v>1</x:v>
      </x:c>
    </x:row>
    <x:row r="71">
      <x:c r="A71" s="18" t="str">
        <x:v>TDAQ</x:v>
      </x:c>
      <x:c r="B71" s="18" t="str">
        <x:v>10/2025</x:v>
      </x:c>
      <x:c r="C71" s="19" t="n">
        <x:v>0.6225</x:v>
      </x:c>
      <x:c r="D71" s="19" t="n">
        <x:v>0.046</x:v>
      </x:c>
      <x:c r="E71" s="19"/>
      <x:c r="F71" s="19" t="n">
        <x:v>0.21530000000000002</x:v>
      </x:c>
      <x:c r="G71" s="19"/>
      <x:c r="H71" s="19" t="n">
        <x:v>0.11630000000000001</x:v>
      </x:c>
      <x:c r="I71" s="19"/>
      <x:c r="J71" s="19"/>
      <x:c r="K71" s="19"/>
      <x:c r="L71" s="19" t="n">
        <x:f>SUM(C71:K71)</x:f>
        <x:v>1.0001000000000002</x:v>
      </x:c>
    </x:row>
    <x:row r="72">
      <x:c r="A72" s="18" t="str">
        <x:v>THTA</x:v>
      </x:c>
      <x:c r="B72" s="18" t="str">
        <x:v>2025</x:v>
      </x:c>
      <x:c r="C72" s="19" t="n">
        <x:v>1</x:v>
      </x:c>
      <x:c r="D72" s="19"/>
      <x:c r="E72" s="19"/>
      <x:c r="F72" s="19"/>
      <x:c r="G72" s="19"/>
      <x:c r="H72" s="19"/>
      <x:c r="I72" s="19"/>
      <x:c r="J72" s="19"/>
      <x:c r="K72" s="19"/>
      <x:c r="L72" s="19" t="n">
        <x:f>SUM(C72:K72)</x:f>
        <x:v>1</x:v>
      </x:c>
    </x:row>
    <x:row r="73">
      <x:c r="A73" s="18" t="str">
        <x:v>TSPY</x:v>
      </x:c>
      <x:c r="B73" s="18" t="str">
        <x:v>2025</x:v>
      </x:c>
      <x:c r="C73" s="19" t="n">
        <x:v>0.7</x:v>
      </x:c>
      <x:c r="D73" s="19" t="n">
        <x:v>0.15</x:v>
      </x:c>
      <x:c r="E73" s="19"/>
      <x:c r="F73" s="19"/>
      <x:c r="G73" s="19"/>
      <x:c r="H73" s="19"/>
      <x:c r="I73" s="19"/>
      <x:c r="J73" s="19"/>
      <x:c r="K73" s="19"/>
      <x:c r="L73" s="19" t="n">
        <x:f>SUM(C73:K73)</x:f>
        <x:v>0.85</x:v>
      </x:c>
    </x:row>
    <x:row r="74">
      <x:c r="A74" s="18" t="str">
        <x:v>TSPY</x:v>
      </x:c>
      <x:c r="B74" s="18" t="str">
        <x:v>2025</x:v>
      </x:c>
      <x:c r="C74" s="19" t="n">
        <x:v>0.826</x:v>
      </x:c>
      <x:c r="D74" s="19" t="n">
        <x:v>0.106</x:v>
      </x:c>
      <x:c r="E74" s="19"/>
      <x:c r="F74" s="19" t="n">
        <x:v>0.068</x:v>
      </x:c>
      <x:c r="G74" s="19"/>
      <x:c r="H74" s="19"/>
      <x:c r="I74" s="19"/>
      <x:c r="J74" s="19"/>
      <x:c r="K74" s="19"/>
      <x:c r="L74" s="19" t="n">
        <x:f>SUM(C74:K74)</x:f>
        <x:v>1</x:v>
      </x:c>
    </x:row>
    <x:row r="75">
      <x:c r="A75" s="18" t="str">
        <x:v>TSPY</x:v>
      </x:c>
      <x:c r="B75" s="18" t="str">
        <x:v>8/2025</x:v>
      </x:c>
      <x:c r="C75" s="19" t="n">
        <x:v>0.8281000000000001</x:v>
      </x:c>
      <x:c r="D75" s="19" t="n">
        <x:v>0.10529999999999999</x:v>
      </x:c>
      <x:c r="E75" s="19"/>
      <x:c r="F75" s="19" t="n">
        <x:v>0.0666</x:v>
      </x:c>
      <x:c r="G75" s="19"/>
      <x:c r="H75" s="19"/>
      <x:c r="I75" s="19"/>
      <x:c r="J75" s="19"/>
      <x:c r="K75" s="19"/>
      <x:c r="L75" s="19" t="n">
        <x:f>SUM(C75:K75)</x:f>
        <x:v>1</x:v>
      </x:c>
    </x:row>
    <x:row r="76">
      <x:c r="A76" s="22" t="str">
        <x:v>TYG</x:v>
      </x:c>
      <x:c r="B76" s="22" t="str">
        <x:v>2025</x:v>
      </x:c>
      <x:c r="C76" s="23" t="n">
        <x:v>0.93</x:v>
      </x:c>
      <x:c r="D76" s="23"/>
      <x:c r="E76" s="23"/>
      <x:c r="F76" s="23"/>
      <x:c r="G76" s="23"/>
      <x:c r="H76" s="23"/>
      <x:c r="I76" s="23"/>
      <x:c r="J76" s="23"/>
      <x:c r="K76" s="23"/>
      <x:c r="L76" s="23" t="n">
        <x:f>SUM(C76:K76)</x:f>
        <x:v>0.93</x:v>
      </x:c>
    </x:row>
    <x:row r="77">
      <x:c r="A77" s="18" t="str">
        <x:v>ULTY</x:v>
      </x:c>
      <x:c r="B77" s="18" t="str">
        <x:v>2025</x:v>
      </x:c>
      <x:c r="C77" s="19" t="n">
        <x:v>0.68</x:v>
      </x:c>
      <x:c r="D77" s="19"/>
      <x:c r="E77" s="19" t="n">
        <x:v>0.32</x:v>
      </x:c>
      <x:c r="F77" s="19"/>
      <x:c r="G77" s="19"/>
      <x:c r="H77" s="19"/>
      <x:c r="I77" s="19"/>
      <x:c r="J77" s="19"/>
      <x:c r="K77" s="19"/>
      <x:c r="L77" s="19" t="n">
        <x:f>SUM(C77:K77)</x:f>
        <x:v>1</x:v>
      </x:c>
    </x:row>
    <x:row r="78">
      <x:c r="A78" s="18" t="str">
        <x:v>USAI</x:v>
      </x:c>
      <x:c r="B78" s="18" t="str">
        <x:v>2025</x:v>
      </x:c>
      <x:c r="C78" s="19" t="n">
        <x:v>0.7440000000000001</x:v>
      </x:c>
      <x:c r="D78" s="19" t="n">
        <x:v>0.256</x:v>
      </x:c>
      <x:c r="E78" s="19"/>
      <x:c r="F78" s="19"/>
      <x:c r="G78" s="19"/>
      <x:c r="H78" s="19"/>
      <x:c r="I78" s="19"/>
      <x:c r="J78" s="19"/>
      <x:c r="K78" s="19"/>
      <x:c r="L78" s="19" t="n">
        <x:f>SUM(C78:K78)</x:f>
        <x:v>1</x:v>
      </x:c>
    </x:row>
    <x:row r="79">
      <x:c r="A79" s="22" t="str">
        <x:v>UTF</x:v>
      </x:c>
      <x:c r="B79" s="22" t="str">
        <x:v>2025</x:v>
      </x:c>
      <x:c r="C79" s="23"/>
      <x:c r="D79" s="23" t="n">
        <x:v>0.561</x:v>
      </x:c>
      <x:c r="E79" s="23"/>
      <x:c r="F79" s="23" t="n">
        <x:v>0.439</x:v>
      </x:c>
      <x:c r="G79" s="23"/>
      <x:c r="H79" s="23"/>
      <x:c r="I79" s="23"/>
      <x:c r="J79" s="23"/>
      <x:c r="K79" s="23"/>
      <x:c r="L79" s="23" t="n">
        <x:f>SUM(C79:K79)</x:f>
        <x:v>1</x:v>
      </x:c>
    </x:row>
    <x:row r="80">
      <x:c r="A80" s="18" t="str">
        <x:v>VYMI</x:v>
      </x:c>
      <x:c r="B80" s="18" t="str">
        <x:v>2025</x:v>
      </x:c>
      <x:c r="C80" s="19"/>
      <x:c r="D80" s="19"/>
      <x:c r="E80" s="19"/>
      <x:c r="F80" s="19"/>
      <x:c r="G80" s="19"/>
      <x:c r="H80" s="19"/>
      <x:c r="I80" s="19"/>
      <x:c r="J80" s="19" t="n">
        <x:v>0.078</x:v>
      </x:c>
      <x:c r="K80" s="19"/>
      <x:c r="L80" s="19" t="n">
        <x:f>SUM(C80:K80)</x:f>
        <x:v>0.078</x:v>
      </x:c>
    </x:row>
    <x:row r="81">
      <x:c r="A81" s="20" t="str">
        <x:v>XDTE</x:v>
      </x:c>
      <x:c r="B81" s="20" t="str">
        <x:v>2025</x:v>
      </x:c>
      <x:c r="C81" s="21" t="n">
        <x:v>0.639</x:v>
      </x:c>
      <x:c r="D81" s="21"/>
      <x:c r="E81" s="21" t="n">
        <x:v>0.134</x:v>
      </x:c>
      <x:c r="F81" s="21" t="n">
        <x:v>0.22699999999999998</x:v>
      </x:c>
      <x:c r="G81" s="21"/>
      <x:c r="H81" s="21"/>
      <x:c r="I81" s="21"/>
      <x:c r="J81" s="21"/>
      <x:c r="K81" s="21"/>
      <x:c r="L81" s="21" t="n">
        <x:f>SUM(C81:K81)</x:f>
        <x:v>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fc1695cdfb841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2" hidden="0" customWidth="1"/>
  </x:cols>
  <x:sheetData>
    <x:row r="1" ht="30" customHeight="1">
      <x:c r="A1" s="3" t="str">
        <x:v>Source Register</x:v>
      </x:c>
      <x:c r="B1" s="3"/>
      <x:c r="C1" s="3"/>
    </x:row>
    <x:row r="2" ht="34" customHeight="1">
      <x:c r="A2" s="7" t="str">
        <x:v>Links require access to the signed-in Armchair Insider Circle community.</x:v>
      </x:c>
      <x:c r="B2" s="7"/>
      <x:c r="C2" s="7"/>
    </x:row>
    <x:row r="4">
      <x:c r="A4" t="str">
        <x:v>Applies To</x:v>
      </x:c>
      <x:c r="B4" t="str">
        <x:v>Source URL</x:v>
      </x:c>
      <x:c r="C4" t="str">
        <x:v>Source / Scope Notes</x:v>
      </x:c>
    </x:row>
    <x:row r="5" ht="42" customHeight="1">
      <x:c r="A5" s="10" t="str">
        <x:v>All pre-existing rows</x:v>
      </x:c>
      <x:c r="B5" s="10" t="str">
        <x:v>https://armchair-insider.circle.so/c/tax-data/thanks-for-sharing</x:v>
      </x:c>
      <x:c r="C5" s="10" t="str">
        <x:v>Existing reference dataset supplied by the user.</x:v>
      </x:c>
    </x:row>
    <x:row r="6" ht="42" customHeight="1">
      <x:c r="A6" s="10" t="str">
        <x:v>AMLP</x:v>
      </x:c>
      <x:c r="B6" s="10" t="str">
        <x:v>https://armchair-insider.circle.so/c/main-feed/cefs-and-etfs-with-non-destructive-roc#comment_wrapper_91616831</x:v>
      </x:c>
      <x:c r="C6" s="10" t="str">
        <x:v>Fund website reportedly classified all 2025 distributions as ordinary income.</x:v>
      </x:c>
    </x:row>
    <x:row r="7" ht="42" customHeight="1">
      <x:c r="A7" s="10" t="str">
        <x:v>ASGI, EMO, GAB, JRI, PTA, RLTY, UTF</x:v>
      </x:c>
      <x:c r="B7" s="10" t="str">
        <x:v>https://armchair-insider.circle.so/c/share-portfolios/new-taxable-portfolio</x:v>
      </x:c>
      <x:c r="C7" s="10" t="str">
        <x:v>Member's compiled CY2025 verified table/attachment.</x:v>
      </x:c>
    </x:row>
    <x:row r="8" ht="42" customHeight="1">
      <x:c r="A8" s="10" t="str">
        <x:v>AVK</x:v>
      </x:c>
      <x:c r="B8" s="10" t="str">
        <x:v>https://armchair-insider.circle.so/c/buying-now/avk-f2e443#comment_wrapper_104390853</x:v>
      </x:c>
      <x:c r="C8" s="10" t="str">
        <x:v>Reported from the fund website: 15% ROC and 85% ordinary.</x:v>
      </x:c>
    </x:row>
    <x:row r="9" ht="42" customHeight="1">
      <x:c r="A9" s="10" t="str">
        <x:v>CEFS</x:v>
      </x:c>
      <x:c r="B9" s="10" t="str">
        <x:v>https://armchair-insider.circle.so/c/selling-now/cefs-842d59</x:v>
      </x:c>
      <x:c r="C9" s="10" t="str">
        <x:v>100% combined QDI or LTCG for the months held; category split not supplied.</x:v>
      </x:c>
    </x:row>
    <x:row r="10" ht="42" customHeight="1">
      <x:c r="A10" s="10" t="str">
        <x:v>JEPQ</x:v>
      </x:c>
      <x:c r="B10" s="10" t="str">
        <x:v>https://armchair-insider.circle.so/c/main-feed/0dte-etfs-tdaq-tdax-income-tool-or-performance-drag#comment_wrapper_100768044</x:v>
      </x:c>
      <x:c r="C10" s="10" t="str">
        <x:v>2025 result reported as 100% ordinary income; retained as a full-year/broker variation.</x:v>
      </x:c>
    </x:row>
    <x:row r="11" ht="42" customHeight="1">
      <x:c r="A11" s="10" t="str">
        <x:v>MSIF</x:v>
      </x:c>
      <x:c r="B11" s="10" t="str">
        <x:v>https://armchair-insider.circle.so/c/buying-now/msif#comment_wrapper_95181744</x:v>
      </x:c>
      <x:c r="C11" s="10" t="str">
        <x:v>Reported from Morgan Stanley's fund website: 18% QDI, 1% LTCG, 81% ordinary.</x:v>
      </x:c>
    </x:row>
    <x:row r="12" ht="42" customHeight="1">
      <x:c r="A12" s="10" t="str">
        <x:v>PFFA</x:v>
      </x:c>
      <x:c r="B12" s="10" t="str">
        <x:v>https://armchair-insider.circle.so/c/buying-now/taxable-income-portfolio-investments#comment_wrapper_107865815</x:v>
      </x:c>
      <x:c r="C12" s="10" t="str">
        <x:v>Detailed variation: 13% ROC, 55% QDI, 19% Section 199A, 12% LTCG, 1% standard ordinary.</x:v>
      </x:c>
    </x:row>
    <x:row r="13" ht="42" customHeight="1">
      <x:c r="A13" s="10" t="str">
        <x:v>PFFA</x:v>
      </x:c>
      <x:c r="B13" s="10" t="str">
        <x:v>https://armchair-insider.circle.so/c/main-feed/obtaining-year-end-info-for-taxable-account-research#comment_wrapper_101700447</x:v>
      </x:c>
      <x:c r="C13" s="10" t="str">
        <x:v>Actual result for a two-month holding: 16.2% ROC and 83.8% ordinary.</x:v>
      </x:c>
    </x:row>
    <x:row r="14" ht="42" customHeight="1">
      <x:c r="A14" s="10" t="str">
        <x:v>QDVO</x:v>
      </x:c>
      <x:c r="B14" s="10" t="str">
        <x:v>https://armchair-insider.circle.so/c/selling-now/sold-tdaq-1-5#comment_wrapper_95119525</x:v>
      </x:c>
      <x:c r="C14" s="10" t="str">
        <x:v>$2.68 of $2.87 reported as non-dividend/ROC = 93.38%; residual classification not supplied.</x:v>
      </x:c>
    </x:row>
    <x:row r="15" ht="42" customHeight="1">
      <x:c r="A15" s="10" t="str">
        <x:v>TYG</x:v>
      </x:c>
      <x:c r="B15" s="10" t="str">
        <x:v>https://armchair-insider.circle.so/c/main-feed/tyg-just-got-more-interesting</x:v>
      </x:c>
      <x:c r="C15" s="10" t="str">
        <x:v>93% ROC; remaining 7% not specified. Post notes C-corp/1099 treatment.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a9e308f09c5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75" hidden="0" customWidth="1"/>
  </x:cols>
  <x:sheetData>
    <x:row r="1" ht="30" customHeight="1">
      <x:c r="A1" s="3" t="str">
        <x:v>Needs Verification — Not Added to Main Database</x:v>
      </x:c>
      <x:c r="B1" s="3"/>
      <x:c r="C1" s="3"/>
      <x:c r="D1" s="3"/>
    </x:row>
    <x:row r="2" ht="34" customHeight="1">
      <x:c r="A2" s="7" t="str">
        <x:v>Candidates are retained here when the classification is incomplete, redundant, estimated, or lacks a final primary-source tax document.</x:v>
      </x:c>
      <x:c r="B2" s="7"/>
      <x:c r="C2" s="7"/>
      <x:c r="D2" s="7"/>
    </x:row>
    <x:row r="4">
      <x:c r="A4" t="str">
        <x:v>Symbol</x:v>
      </x:c>
      <x:c r="B4" t="str">
        <x:v>Reported 2025 Tax Data</x:v>
      </x:c>
      <x:c r="C4" t="str">
        <x:v>Reason Not Added</x:v>
      </x:c>
      <x:c r="D4" t="str">
        <x:v>Source URL</x:v>
      </x:c>
    </x:row>
    <x:row r="5" ht="42" customHeight="1">
      <x:c r="A5" t="str">
        <x:v>AEF</x:v>
      </x:c>
      <x:c r="B5" s="10" t="str">
        <x:v>93% ROC</x:v>
      </x:c>
      <x:c r="C5" s="10" t="str">
        <x:v>Remaining 7% was not classified.</x:v>
      </x:c>
      <x:c r="D5" s="10" t="str">
        <x:v>https://armchair-insider.circle.so/c/share-portfolios/new-taxable-portfolio</x:v>
      </x:c>
    </x:row>
    <x:row r="6" ht="42" customHeight="1">
      <x:c r="A6" t="str">
        <x:v>HQH</x:v>
      </x:c>
      <x:c r="B6" s="10" t="str">
        <x:v>89.7% ordinary income</x:v>
      </x:c>
      <x:c r="C6" s="10" t="str">
        <x:v>Remaining 10.3% was not classified.</x:v>
      </x:c>
      <x:c r="D6" s="10" t="str">
        <x:v>https://armchair-insider.circle.so/c/share-portfolios/new-taxable-portfolio</x:v>
      </x:c>
    </x:row>
    <x:row r="7" ht="42" customHeight="1">
      <x:c r="A7" t="str">
        <x:v>NMZ</x:v>
      </x:c>
      <x:c r="B7" s="10" t="str">
        <x:v>Tax-exempt interest</x:v>
      </x:c>
      <x:c r="C7" s="10" t="str">
        <x:v>No numeric percentage was supplied.</x:v>
      </x:c>
      <x:c r="D7" s="10" t="str">
        <x:v>https://armchair-insider.circle.so/c/share-portfolios/new-taxable-portfolio</x:v>
      </x:c>
    </x:row>
    <x:row r="8" ht="42" customHeight="1">
      <x:c r="A8" t="str">
        <x:v>NVG</x:v>
      </x:c>
      <x:c r="B8" s="10" t="str">
        <x:v>Tax-exempt interest</x:v>
      </x:c>
      <x:c r="C8" s="10" t="str">
        <x:v>No numeric percentage was supplied.</x:v>
      </x:c>
      <x:c r="D8" s="10" t="str">
        <x:v>https://armchair-insider.circle.so/c/share-portfolios/new-taxable-portfolio</x:v>
      </x:c>
    </x:row>
    <x:row r="9" ht="42" customHeight="1">
      <x:c r="A9" t="str">
        <x:v>FEPI</x:v>
      </x:c>
      <x:c r="B9" s="10" t="str">
        <x:v>96% ROC on corrected 1099</x:v>
      </x:c>
      <x:c r="C9" s="10" t="str">
        <x:v>Near-duplicate of the existing 95.3% ROC row; excluded to avoid redundancy.</x:v>
      </x:c>
      <x:c r="D9" s="10" t="str">
        <x:v>https://armchair-insider.circle.so/c/main-feed/fepi-return-of-capital-is-zero#comment_wrapper_97785342</x:v>
      </x:c>
    </x:row>
    <x:row r="10" ht="42" customHeight="1">
      <x:c r="A10" t="str">
        <x:v>MLPI</x:v>
      </x:c>
      <x:c r="B10" s="10" t="str">
        <x:v>91% ROC</x:v>
      </x:c>
      <x:c r="C10" s="10" t="str">
        <x:v>No complete tax year/final 1099 was available yet.</x:v>
      </x:c>
      <x:c r="D10" s="10" t="str">
        <x:v>https://armchair-insider.circle.so/c/share-portfolios/new-taxable-portfolio</x:v>
      </x:c>
    </x:row>
    <x:row r="11" ht="42" customHeight="1">
      <x:c r="A11" t="str">
        <x:v>JPC</x:v>
      </x:c>
      <x:c r="B11" s="10" t="str">
        <x:v>Approximately 95% QDI</x:v>
      </x:c>
      <x:c r="C11" s="10" t="str">
        <x:v>Approximate third-party figure, not a final 1099.</x:v>
      </x:c>
      <x:c r="D11" s="10" t="str">
        <x:v>https://armchair-insider.circle.so/c/share-portfolios/new-taxable-portfolio#comment_wrapper_105036563</x:v>
      </x:c>
    </x:row>
    <x:row r="12" ht="42" customHeight="1">
      <x:c r="A12" t="str">
        <x:v>BTCI</x:v>
      </x:c>
      <x:c r="B12" s="10" t="str">
        <x:v>Estimated 60%-65% ROC</x:v>
      </x:c>
      <x:c r="C12" s="10" t="str">
        <x:v>Calculated estimate rather than final calendar-year classification.</x:v>
      </x:c>
      <x:c r="D12" s="10" t="str">
        <x:v>https://armchair-insider.circle.so/c/buying-now/looking-for-cc-s-with-good-rocs-that-armchair#comment_wrapper_101094075</x:v>
      </x:c>
    </x:row>
    <x:row r="13" ht="42" customHeight="1">
      <x:c r="A13" t="str">
        <x:v>EVT</x:v>
      </x:c>
      <x:c r="B13" s="10" t="str">
        <x:v>84% LTCG</x:v>
      </x:c>
      <x:c r="C13" s="10" t="str">
        <x:v>Year-to-date estimate, not a final calendar-year classification.</x:v>
      </x:c>
      <x:c r="D13" s="10" t="str">
        <x:v>https://armchair-insider.circle.so/c/buying-now/evt#comment_wrapper_90194870</x:v>
      </x:c>
    </x:row>
    <x:row r="14" ht="42" customHeight="1">
      <x:c r="A14" t="str">
        <x:v>OVM</x:v>
      </x:c>
      <x:c r="B14" s="10" t="str">
        <x:v>98% ROC</x:v>
      </x:c>
      <x:c r="C14" s="10" t="str">
        <x:v>AI/Gemini answer rather than an issuer document or final 1099.</x:v>
      </x:c>
      <x:c r="D14" s="10" t="str">
        <x:v>https://armchair-insider.circle.so/c/main-feed/ovm-tax-exempt-municipal-bond-fund#comment_wrapper_107864812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46b40d8764445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2" hidden="0" customWidth="1"/>
    <x:col min="3" max="3" width="10" hidden="0" customWidth="1"/>
    <x:col min="4" max="4" width="10" hidden="0" customWidth="1"/>
  </x:cols>
  <x:sheetData>
    <x:row r="1">
      <x:c r="A1" s="2" t="str">
        <x:v>Database Audit &amp; Conventions</x:v>
      </x:c>
      <x:c r="B1" s="2"/>
      <x:c r="C1" s="2"/>
      <x:c r="D1" s="2"/>
    </x:row>
    <x:row r="2">
      <x:c r="A2" t="str">
        <x:v>Workbook contents</x:v>
      </x:c>
      <x:c r="B2" t="str">
        <x:v>Main database, source register, and verification list</x:v>
      </x:c>
    </x:row>
    <x:row r="4">
      <x:c r="A4" s="9" t="str">
        <x:v>Metric</x:v>
      </x:c>
      <x:c r="B4" s="9" t="str">
        <x:v>Value</x:v>
      </x:c>
    </x:row>
    <x:row r="5">
      <x:c r="A5" t="str">
        <x:v>Total database rows</x:v>
      </x:c>
      <x:c r="B5" s="24" t="n">
        <x:f>COUNTA('Tax Database'!A5:A81)</x:f>
        <x:v>77</x:v>
      </x:c>
    </x:row>
    <x:row r="6">
      <x:c r="A6" t="str">
        <x:v>Tax percentage columns</x:v>
      </x:c>
      <x:c r="B6" s="24" t="n">
        <x:f>COUNTA('Tax Database'!C4:K4)</x:f>
        <x:v>9</x:v>
      </x:c>
    </x:row>
    <x:row r="7">
      <x:c r="A7" t="str">
        <x:v>Source register entries</x:v>
      </x:c>
      <x:c r="B7" s="24" t="n">
        <x:f>COUNTA('Sources'!A5:A15)</x:f>
        <x:v>11</x:v>
      </x:c>
    </x:row>
    <x:row r="8">
      <x:c r="A8" t="str">
        <x:v>Needs verification items</x:v>
      </x:c>
      <x:c r="B8" s="24" t="n">
        <x:f>COUNTA('Needs Verification'!A5:A14)</x:f>
        <x:v>10</x:v>
      </x:c>
    </x:row>
    <x:row r="10">
      <x:c r="A10" s="9" t="str">
        <x:v>Convention</x:v>
      </x:c>
      <x:c r="B10" s="9" t="str">
        <x:v>Description</x:v>
      </x:c>
      <x:c r="C10" s="9"/>
      <x:c r="D10" s="9"/>
    </x:row>
    <x:row r="11" ht="42" customHeight="1">
      <x:c r="A11" s="10" t="str">
        <x:v>Classified total</x:v>
      </x:c>
      <x:c r="B11" s="10" t="str">
        <x:v>Classified Total is the sum of the numeric tax categories supplied for that row. Some source records provide only selected categories.</x:v>
      </x:c>
      <x:c r="C11" s="10"/>
      <x:c r="D11" s="10"/>
    </x:row>
    <x:row r="12" ht="42" customHeight="1">
      <x:c r="A12" s="10" t="str">
        <x:v>QDI vs ordinary</x:v>
      </x:c>
      <x:c r="B12" s="10" t="str">
        <x:v>Values follow the community source's own terminology. Qualified dividends and ordinary/non-qualified categories should not be double-counted.</x:v>
      </x:c>
      <x:c r="C12" s="10"/>
      <x:c r="D12" s="10"/>
    </x:row>
    <x:row r="13" ht="42" customHeight="1">
      <x:c r="A13" s="10" t="str">
        <x:v>Tax use</x:v>
      </x:c>
      <x:c r="B13" s="10" t="str">
        <x:v>Community-reported information is reference data only; investors should verify against their final corrected 1099-DIV and tax adviser.</x:v>
      </x:c>
      <x:c r="C13" s="10"/>
      <x:c r="D13" s="10"/>
    </x:row>
  </x:sheetData>
  <x:mergeCells>
    <x:mergeCell ref="A1:D1"/>
  </x:mergeCells>
  <x:pageMargins left="0.7" right="0.7" top="0.75" bottom="0.75" header="0.3" footer="0.3"/>
</x:worksheet>
</file>